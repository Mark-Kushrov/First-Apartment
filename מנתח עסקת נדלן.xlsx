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מרק אישי\"/>
    </mc:Choice>
  </mc:AlternateContent>
  <xr:revisionPtr revIDLastSave="0" documentId="8_{4C9A07E1-E77B-443E-AA29-DC16150BCEB0}" xr6:coauthVersionLast="47" xr6:coauthVersionMax="47" xr10:uidLastSave="{00000000-0000-0000-0000-000000000000}"/>
  <bookViews>
    <workbookView xWindow="-120" yWindow="-120" windowWidth="29040" windowHeight="15720" xr2:uid="{2F8B2AF5-F2F5-40B6-B896-7675B37C3D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1" i="1" l="1"/>
  <c r="P10" i="1"/>
  <c r="P9" i="1"/>
</calcChain>
</file>

<file path=xl/sharedStrings.xml><?xml version="1.0" encoding="utf-8"?>
<sst xmlns="http://schemas.openxmlformats.org/spreadsheetml/2006/main" count="11" uniqueCount="11">
  <si>
    <t>מחר הדירה</t>
  </si>
  <si>
    <t>הנוסחאות תקפות רק לדירה ראשונה עד תקרת הפטור ממס רכישה (1,978,745 ש"ח)</t>
  </si>
  <si>
    <t>ההון העצמי הוא כולל בתוכו הוצאות נלוות - עורכי דין, שמאי, בדק בית, יועץ משכנתאות ומתווך</t>
  </si>
  <si>
    <t>המשכורת מחושבת לפי משכנתה של 75% מערך הנכס והיא צריכה להיות 40% מההכנסה הפנויה</t>
  </si>
  <si>
    <t>ההחזר החודשי חושב לפי פריסה של המשכנתא</t>
  </si>
  <si>
    <t>הנתונים בטבלה יאפשר לך לשחק עם מספרי מחיר הדירה ולהבין מיד אם העסקה "גדולה" עליך או מתאימה ליכולות שלך.</t>
  </si>
  <si>
    <t>פרמטר</t>
  </si>
  <si>
    <t>הון עצמי נדרש</t>
  </si>
  <si>
    <t>משכורת נטו דרושה</t>
  </si>
  <si>
    <t>החזר חודשי משוער</t>
  </si>
  <si>
    <t>הנוסחה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</si>
</sst>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21644-7119-43C0-A0E5-6FB376097A80}">
  <dimension ref="P2:AB11"/>
  <sheetViews>
    <sheetView tabSelected="1" topLeftCell="E1" workbookViewId="0">
      <selection activeCell="Q14" sqref="Q14"/>
    </sheetView>
  </sheetViews>
  <sheetFormatPr defaultRowHeight="15" x14ac:dyDescent="0.25"/>
  <cols>
    <col min="17" max="17" width="16" bestFit="1" customWidth="1"/>
  </cols>
  <sheetData>
    <row r="2" spans="16:28" x14ac:dyDescent="0.25">
      <c r="P2" s="1" t="s">
        <v>1</v>
      </c>
      <c r="AB2" t="s">
        <v>5</v>
      </c>
    </row>
    <row r="3" spans="16:28" x14ac:dyDescent="0.25">
      <c r="P3" t="s">
        <v>2</v>
      </c>
    </row>
    <row r="4" spans="16:28" x14ac:dyDescent="0.25">
      <c r="P4" t="s">
        <v>3</v>
      </c>
    </row>
    <row r="5" spans="16:28" x14ac:dyDescent="0.25">
      <c r="P5" t="s">
        <v>4</v>
      </c>
    </row>
    <row r="7" spans="16:28" x14ac:dyDescent="0.25">
      <c r="P7" t="s">
        <v>10</v>
      </c>
      <c r="Q7" t="s">
        <v>6</v>
      </c>
    </row>
    <row r="8" spans="16:28" x14ac:dyDescent="0.25">
      <c r="P8">
        <v>1800000</v>
      </c>
      <c r="Q8" t="s">
        <v>0</v>
      </c>
    </row>
    <row r="9" spans="16:28" x14ac:dyDescent="0.25">
      <c r="P9">
        <f>(P8*0.2795)+15000</f>
        <v>518100.00000000006</v>
      </c>
      <c r="Q9" t="s">
        <v>7</v>
      </c>
    </row>
    <row r="10" spans="16:28" x14ac:dyDescent="0.25">
      <c r="P10">
        <f>P8*0.00975</f>
        <v>17550</v>
      </c>
      <c r="Q10" t="s">
        <v>8</v>
      </c>
    </row>
    <row r="11" spans="16:28" x14ac:dyDescent="0.25">
      <c r="P11">
        <f>P8*0.0039</f>
        <v>7020</v>
      </c>
      <c r="Q1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Kushrov</dc:creator>
  <cp:lastModifiedBy>Mark Kushrov</cp:lastModifiedBy>
  <dcterms:created xsi:type="dcterms:W3CDTF">2026-02-02T15:30:17Z</dcterms:created>
  <dcterms:modified xsi:type="dcterms:W3CDTF">2026-02-02T16:08:42Z</dcterms:modified>
</cp:coreProperties>
</file>